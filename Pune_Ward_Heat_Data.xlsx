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rd Data" sheetId="1" state="visible" r:id="rId3"/>
    <sheet name="Weights" sheetId="2" state="visible" r:id="rId4"/>
    <sheet name="Data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<sst xmlns="http://schemas.openxmlformats.org/spreadsheetml/2006/main" count="92" uniqueCount="87">
  <si>
    <t xml:space="preserve">Pune ward heat dataset — ILLUSTRATIVE SAMPLE VALUES (not measured)</t>
  </si>
  <si>
    <t xml:space="preserve">Blue = input values entered by hand as placeholders. Black = formulas. Replace blue cells with outputs from your satellite/census pipeline (see 'Data Sources' sheet).</t>
  </si>
  <si>
    <t xml:space="preserve">#</t>
  </si>
  <si>
    <t xml:space="preserve">Ward office (PMC)</t>
  </si>
  <si>
    <t xml:space="preserve">Population (thousand)</t>
  </si>
  <si>
    <t xml:space="preserve">Avg surface temp LST (°C)</t>
  </si>
  <si>
    <t xml:space="preserve">Tree canopy (%)</t>
  </si>
  <si>
    <t xml:space="preserve">Density (thousand/km²)</t>
  </si>
  <si>
    <t xml:space="preserve">Vulnerability index (0-100)</t>
  </si>
  <si>
    <t xml:space="preserve">Heat component (0-1)</t>
  </si>
  <si>
    <t xml:space="preserve">Canopy deficit (0-1)</t>
  </si>
  <si>
    <t xml:space="preserve">Vulnerability component (0-1)</t>
  </si>
  <si>
    <t xml:space="preserve">Heat Equity Index (0-100)</t>
  </si>
  <si>
    <t xml:space="preserve">Priority category</t>
  </si>
  <si>
    <t xml:space="preserve">Rank</t>
  </si>
  <si>
    <t xml:space="preserve">Key localities</t>
  </si>
  <si>
    <t xml:space="preserve">Aundh-Baner</t>
  </si>
  <si>
    <t xml:space="preserve">Aundh, Baner, Balewadi, Pashan, Sus</t>
  </si>
  <si>
    <t xml:space="preserve">Shivajinagar-Ghole Road</t>
  </si>
  <si>
    <t xml:space="preserve">Shivajinagar, Deccan Gymkhana, FC Road, Model Colony, Bhamburda</t>
  </si>
  <si>
    <t xml:space="preserve">Dhole Patil Road</t>
  </si>
  <si>
    <t xml:space="preserve">Pune Station, Koregaon Park, Bund Garden, Sangamwadi</t>
  </si>
  <si>
    <t xml:space="preserve">Yerawada-Kalas-Dhanori</t>
  </si>
  <si>
    <t xml:space="preserve">Yerawada, Kalas, Dhanori, Vishrantwadi, Lohegaon</t>
  </si>
  <si>
    <t xml:space="preserve">Nagar Road-Wadgaon Sheri</t>
  </si>
  <si>
    <t xml:space="preserve">Viman Nagar, Kalyani Nagar, Wadgaon Sheri, Kharadi, Tingre Nagar</t>
  </si>
  <si>
    <t xml:space="preserve">Kothrud-Bavdhan</t>
  </si>
  <si>
    <t xml:space="preserve">Kothrud, Bavdhan, Erandwane, Paud Road, Mayur Colony</t>
  </si>
  <si>
    <t xml:space="preserve">Kasba-Vishrambaug Wada</t>
  </si>
  <si>
    <t xml:space="preserve">Kasba Peth, Shaniwar Wada, Vishrambaug Wada, Budhwar Peth, Raviwar Peth</t>
  </si>
  <si>
    <t xml:space="preserve">Bhavani Peth</t>
  </si>
  <si>
    <t xml:space="preserve">Bhavani Peth, Ganj Peth, Nana Peth, Ghorpade Peth, Kasewadi</t>
  </si>
  <si>
    <t xml:space="preserve">Wanowrie-Ramtekdi</t>
  </si>
  <si>
    <t xml:space="preserve">Wanowrie, Ramtekdi, Fatima Nagar, Salunke Vihar</t>
  </si>
  <si>
    <t xml:space="preserve">Hadapsar-Mundhwa</t>
  </si>
  <si>
    <t xml:space="preserve">Hadapsar, Mundhwa, Magarpatta, Manjri, Fursungi</t>
  </si>
  <si>
    <t xml:space="preserve">Warje-Karvenagar</t>
  </si>
  <si>
    <t xml:space="preserve">Warje, Karve Nagar, Ram Nagar, Malwadi, Shivane</t>
  </si>
  <si>
    <t xml:space="preserve">Sinhagad Road</t>
  </si>
  <si>
    <t xml:space="preserve">Sinhagad Road, Dhayari, Vadgaon Budruk, Nanded City, Hingne</t>
  </si>
  <si>
    <t xml:space="preserve">Tilak Road</t>
  </si>
  <si>
    <t xml:space="preserve">Swargate, Sadashiv Peth, Narayan Peth, Parvati, Tilak Road</t>
  </si>
  <si>
    <t xml:space="preserve">Dhankawadi-Sahakarnagar</t>
  </si>
  <si>
    <t xml:space="preserve">Dhankawadi, Sahakarnagar, Katraj, Bibwewadi, Ambegaon</t>
  </si>
  <si>
    <t xml:space="preserve">Kondhwa-Yewalwadi</t>
  </si>
  <si>
    <t xml:space="preserve">Kondhwa, Yewalwadi, NIBM Road, Undri, Mohammadwadi</t>
  </si>
  <si>
    <t xml:space="preserve">City total / population-weighted average</t>
  </si>
  <si>
    <t xml:space="preserve">Hottest–coolest ward gap (°C)</t>
  </si>
  <si>
    <t xml:space="preserve">Share of residents in High/Critical wards</t>
  </si>
  <si>
    <t xml:space="preserve">Note: Population is approximate and rounded; all other columns are placeholders chosen to show a plausible pattern (dense old-city wards hotter, western/hill-side wards cooler). They are NOT satellite- or census-derived.</t>
  </si>
  <si>
    <t xml:space="preserve">HEI model parameters (edit blue cells)</t>
  </si>
  <si>
    <t xml:space="preserve">Parameter</t>
  </si>
  <si>
    <t xml:space="preserve">Value</t>
  </si>
  <si>
    <t xml:space="preserve">Meaning</t>
  </si>
  <si>
    <t xml:space="preserve">Weight: surface temperature</t>
  </si>
  <si>
    <t xml:space="preserve">Share of HEI from heat</t>
  </si>
  <si>
    <t xml:space="preserve">Weight: canopy deficit</t>
  </si>
  <si>
    <t xml:space="preserve">Share of HEI from missing tree cover</t>
  </si>
  <si>
    <t xml:space="preserve">Weight: vulnerability</t>
  </si>
  <si>
    <t xml:space="preserve">Share of HEI from social vulnerability</t>
  </si>
  <si>
    <t xml:space="preserve">LST baseline (°C)</t>
  </si>
  <si>
    <t xml:space="preserve">Temperature mapped to 0</t>
  </si>
  <si>
    <t xml:space="preserve">LST range (°C)</t>
  </si>
  <si>
    <t xml:space="preserve">Baseline+range mapped to 1 (i.e. 43°C)</t>
  </si>
  <si>
    <t xml:space="preserve">Canopy reference (%)</t>
  </si>
  <si>
    <t xml:space="preserve">Canopy at/above this = no deficit</t>
  </si>
  <si>
    <t xml:space="preserve">Critical threshold (HEI ≥)</t>
  </si>
  <si>
    <t xml:space="preserve">Category cut-off</t>
  </si>
  <si>
    <t xml:space="preserve">High threshold (HEI ≥)</t>
  </si>
  <si>
    <t xml:space="preserve">Moderate threshold (HEI ≥)</t>
  </si>
  <si>
    <t xml:space="preserve">Weights must sum to 1:</t>
  </si>
  <si>
    <t xml:space="preserve">Weights and thresholds are design choices by the project team, not published standards. Tune and justify them in your report.</t>
  </si>
  <si>
    <t xml:space="preserve">Column</t>
  </si>
  <si>
    <t xml:space="preserve">Current status</t>
  </si>
  <si>
    <t xml:space="preserve">Where to get the real value</t>
  </si>
  <si>
    <t xml:space="preserve">Population / density</t>
  </si>
  <si>
    <t xml:space="preserve">Placeholder (approximate)</t>
  </si>
  <si>
    <t xml:space="preserve">Census of India 2011 ward-level tables or PMC ward population data; divide by ward area (from PMC ward GeoJSON) for density</t>
  </si>
  <si>
    <t xml:space="preserve">Surface temp LST (°C)</t>
  </si>
  <si>
    <t xml:space="preserve">Placeholder</t>
  </si>
  <si>
    <t xml:space="preserve">Landsat 8/9 Collection 2 Level-2 thermal band (ST_B10), or MODIS/ECOSTRESS; take summer cloud-free mean per ward via zonal statistics (Google Earth Engine / rasterio)</t>
  </si>
  <si>
    <t xml:space="preserve">Sentinel-2 NDVI/classification or high-res imagery segmented with OpenCV / a CNN; % of ward pixels classed as tree</t>
  </si>
  <si>
    <t xml:space="preserve">Vulnerability index</t>
  </si>
  <si>
    <t xml:space="preserve">Composite of % children &lt;5, % elderly 65+, % slum population, income/poverty proxy and access to cooling/health; normalise 0-100</t>
  </si>
  <si>
    <t xml:space="preserve">Ward boundaries</t>
  </si>
  <si>
    <t xml:space="preserve">Not used (map is stylised)</t>
  </si>
  <si>
    <t xml:space="preserve">PMC/Open city data portal GeoJSON for the 15 ward offices or 41 prabhags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</si>
</sst>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General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B91C1C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B91C1C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2"/>
      </left>
      <right style="thin">
        <color rgb="FFD0D5D2"/>
      </right>
      <top style="thin">
        <color rgb="FFD0D5D2"/>
      </top>
      <bottom style="thin">
        <color rgb="FFD0D5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7"/>
    <col collapsed="false" customWidth="true" hidden="false" outlineLevel="0" max="14" min="14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4" t="s">
        <v>16</v>
      </c>
      <c r="C5" s="5" t="n">
        <v>420</v>
      </c>
      <c r="D5" s="6" t="n">
        <v>38.2</v>
      </c>
      <c r="E5" s="5" t="n">
        <v>21</v>
      </c>
      <c r="F5" s="6" t="n">
        <v>9.8</v>
      </c>
      <c r="G5" s="5" t="n">
        <v>38</v>
      </c>
      <c r="H5" s="7" t="n">
        <f aca="false">MIN(1,MAX(0,(D5-Weights!$B$7)/Weights!$B$8))</f>
        <v>0.2</v>
      </c>
      <c r="I5" s="7" t="n">
        <f aca="false">MIN(1,MAX(0,1-E5/Weights!$B$9))</f>
        <v>0.16</v>
      </c>
      <c r="J5" s="7" t="n">
        <f aca="false">MIN(1,MAX(0,G5/100))</f>
        <v>0.38</v>
      </c>
      <c r="K5" s="4" t="n">
        <f aca="false">ROUND(100*(Weights!$B$4*H5+Weights!$B$5*I5+Weights!$B$6*J5),0)</f>
        <v>24</v>
      </c>
      <c r="L5" s="4" t="str">
        <f aca="false">IF(K5&gt;=Weights!$B$10,"Critical",IF(K5&gt;=Weights!$B$11,"High",IF(K5&gt;=Weights!$B$12,"Moderate","Lower")))</f>
        <v>Lower</v>
      </c>
      <c r="M5" s="4" t="n">
        <f aca="false">RANK(K5,$K$5:$K$19,0)</f>
        <v>13</v>
      </c>
      <c r="N5" s="4" t="s">
        <v>17</v>
      </c>
    </row>
    <row r="6" customFormat="false" ht="15" hidden="false" customHeight="false" outlineLevel="0" collapsed="false">
      <c r="A6" s="4" t="n">
        <v>2</v>
      </c>
      <c r="B6" s="4" t="s">
        <v>18</v>
      </c>
      <c r="C6" s="5" t="n">
        <v>360</v>
      </c>
      <c r="D6" s="6" t="n">
        <v>39.6</v>
      </c>
      <c r="E6" s="5" t="n">
        <v>17</v>
      </c>
      <c r="F6" s="6" t="n">
        <v>14.2</v>
      </c>
      <c r="G6" s="5" t="n">
        <v>44</v>
      </c>
      <c r="H6" s="7" t="n">
        <f aca="false">MIN(1,MAX(0,(D6-Weights!$B$7)/Weights!$B$8))</f>
        <v>0.433333333333334</v>
      </c>
      <c r="I6" s="7" t="n">
        <f aca="false">MIN(1,MAX(0,1-E6/Weights!$B$9))</f>
        <v>0.32</v>
      </c>
      <c r="J6" s="7" t="n">
        <f aca="false">MIN(1,MAX(0,G6/100))</f>
        <v>0.44</v>
      </c>
      <c r="K6" s="4" t="n">
        <f aca="false">ROUND(100*(Weights!$B$4*H6+Weights!$B$5*I6+Weights!$B$6*J6),0)</f>
        <v>41</v>
      </c>
      <c r="L6" s="4" t="str">
        <f aca="false">IF(K6&gt;=Weights!$B$10,"Critical",IF(K6&gt;=Weights!$B$11,"High",IF(K6&gt;=Weights!$B$12,"Moderate","Lower")))</f>
        <v>Moderate</v>
      </c>
      <c r="M6" s="4" t="n">
        <f aca="false">RANK(K6,$K$5:$K$19,0)</f>
        <v>11</v>
      </c>
      <c r="N6" s="4" t="s">
        <v>19</v>
      </c>
    </row>
    <row r="7" customFormat="false" ht="15" hidden="false" customHeight="false" outlineLevel="0" collapsed="false">
      <c r="A7" s="4" t="n">
        <v>3</v>
      </c>
      <c r="B7" s="4" t="s">
        <v>20</v>
      </c>
      <c r="C7" s="5" t="n">
        <v>340</v>
      </c>
      <c r="D7" s="6" t="n">
        <v>40.1</v>
      </c>
      <c r="E7" s="5" t="n">
        <v>15</v>
      </c>
      <c r="F7" s="6" t="n">
        <v>13.5</v>
      </c>
      <c r="G7" s="5" t="n">
        <v>47</v>
      </c>
      <c r="H7" s="7" t="n">
        <f aca="false">MIN(1,MAX(0,(D7-Weights!$B$7)/Weights!$B$8))</f>
        <v>0.516666666666667</v>
      </c>
      <c r="I7" s="7" t="n">
        <f aca="false">MIN(1,MAX(0,1-E7/Weights!$B$9))</f>
        <v>0.4</v>
      </c>
      <c r="J7" s="7" t="n">
        <f aca="false">MIN(1,MAX(0,G7/100))</f>
        <v>0.47</v>
      </c>
      <c r="K7" s="4" t="n">
        <f aca="false">ROUND(100*(Weights!$B$4*H7+Weights!$B$5*I7+Weights!$B$6*J7),0)</f>
        <v>47</v>
      </c>
      <c r="L7" s="4" t="str">
        <f aca="false">IF(K7&gt;=Weights!$B$10,"Critical",IF(K7&gt;=Weights!$B$11,"High",IF(K7&gt;=Weights!$B$12,"Moderate","Lower")))</f>
        <v>Moderate</v>
      </c>
      <c r="M7" s="4" t="n">
        <f aca="false">RANK(K7,$K$5:$K$19,0)</f>
        <v>10</v>
      </c>
      <c r="N7" s="4" t="s">
        <v>21</v>
      </c>
    </row>
    <row r="8" customFormat="false" ht="15" hidden="false" customHeight="false" outlineLevel="0" collapsed="false">
      <c r="A8" s="4" t="n">
        <v>4</v>
      </c>
      <c r="B8" s="4" t="s">
        <v>22</v>
      </c>
      <c r="C8" s="5" t="n">
        <v>480</v>
      </c>
      <c r="D8" s="6" t="n">
        <v>41.4</v>
      </c>
      <c r="E8" s="5" t="n">
        <v>9</v>
      </c>
      <c r="F8" s="6" t="n">
        <v>16.8</v>
      </c>
      <c r="G8" s="5" t="n">
        <v>71</v>
      </c>
      <c r="H8" s="7" t="n">
        <f aca="false">MIN(1,MAX(0,(D8-Weights!$B$7)/Weights!$B$8))</f>
        <v>0.733333333333333</v>
      </c>
      <c r="I8" s="7" t="n">
        <f aca="false">MIN(1,MAX(0,1-E8/Weights!$B$9))</f>
        <v>0.64</v>
      </c>
      <c r="J8" s="7" t="n">
        <f aca="false">MIN(1,MAX(0,G8/100))</f>
        <v>0.71</v>
      </c>
      <c r="K8" s="4" t="n">
        <f aca="false">ROUND(100*(Weights!$B$4*H8+Weights!$B$5*I8+Weights!$B$6*J8),0)</f>
        <v>70</v>
      </c>
      <c r="L8" s="4" t="str">
        <f aca="false">IF(K8&gt;=Weights!$B$10,"Critical",IF(K8&gt;=Weights!$B$11,"High",IF(K8&gt;=Weights!$B$12,"Moderate","Lower")))</f>
        <v>Critical</v>
      </c>
      <c r="M8" s="4" t="n">
        <f aca="false">RANK(K8,$K$5:$K$19,0)</f>
        <v>4</v>
      </c>
      <c r="N8" s="4" t="s">
        <v>23</v>
      </c>
    </row>
    <row r="9" customFormat="false" ht="15" hidden="false" customHeight="false" outlineLevel="0" collapsed="false">
      <c r="A9" s="4" t="n">
        <v>5</v>
      </c>
      <c r="B9" s="4" t="s">
        <v>24</v>
      </c>
      <c r="C9" s="5" t="n">
        <v>520</v>
      </c>
      <c r="D9" s="6" t="n">
        <v>40.3</v>
      </c>
      <c r="E9" s="5" t="n">
        <v>14</v>
      </c>
      <c r="F9" s="6" t="n">
        <v>12.1</v>
      </c>
      <c r="G9" s="5" t="n">
        <v>52</v>
      </c>
      <c r="H9" s="7" t="n">
        <f aca="false">MIN(1,MAX(0,(D9-Weights!$B$7)/Weights!$B$8))</f>
        <v>0.55</v>
      </c>
      <c r="I9" s="7" t="n">
        <f aca="false">MIN(1,MAX(0,1-E9/Weights!$B$9))</f>
        <v>0.44</v>
      </c>
      <c r="J9" s="7" t="n">
        <f aca="false">MIN(1,MAX(0,G9/100))</f>
        <v>0.52</v>
      </c>
      <c r="K9" s="4" t="n">
        <f aca="false">ROUND(100*(Weights!$B$4*H9+Weights!$B$5*I9+Weights!$B$6*J9),0)</f>
        <v>51</v>
      </c>
      <c r="L9" s="4" t="str">
        <f aca="false">IF(K9&gt;=Weights!$B$10,"Critical",IF(K9&gt;=Weights!$B$11,"High",IF(K9&gt;=Weights!$B$12,"Moderate","Lower")))</f>
        <v>Moderate</v>
      </c>
      <c r="M9" s="4" t="n">
        <f aca="false">RANK(K9,$K$5:$K$19,0)</f>
        <v>9</v>
      </c>
      <c r="N9" s="4" t="s">
        <v>25</v>
      </c>
    </row>
    <row r="10" customFormat="false" ht="15" hidden="false" customHeight="false" outlineLevel="0" collapsed="false">
      <c r="A10" s="4" t="n">
        <v>6</v>
      </c>
      <c r="B10" s="4" t="s">
        <v>26</v>
      </c>
      <c r="C10" s="5" t="n">
        <v>450</v>
      </c>
      <c r="D10" s="6" t="n">
        <v>37.6</v>
      </c>
      <c r="E10" s="5" t="n">
        <v>24</v>
      </c>
      <c r="F10" s="6" t="n">
        <v>10.3</v>
      </c>
      <c r="G10" s="5" t="n">
        <v>33</v>
      </c>
      <c r="H10" s="7" t="n">
        <f aca="false">MIN(1,MAX(0,(D10-Weights!$B$7)/Weights!$B$8))</f>
        <v>0.1</v>
      </c>
      <c r="I10" s="7" t="n">
        <f aca="false">MIN(1,MAX(0,1-E10/Weights!$B$9))</f>
        <v>0.04</v>
      </c>
      <c r="J10" s="7" t="n">
        <f aca="false">MIN(1,MAX(0,G10/100))</f>
        <v>0.33</v>
      </c>
      <c r="K10" s="4" t="n">
        <f aca="false">ROUND(100*(Weights!$B$4*H10+Weights!$B$5*I10+Weights!$B$6*J10),0)</f>
        <v>15</v>
      </c>
      <c r="L10" s="4" t="str">
        <f aca="false">IF(K10&gt;=Weights!$B$10,"Critical",IF(K10&gt;=Weights!$B$11,"High",IF(K10&gt;=Weights!$B$12,"Moderate","Lower")))</f>
        <v>Lower</v>
      </c>
      <c r="M10" s="4" t="n">
        <f aca="false">RANK(K10,$K$5:$K$19,0)</f>
        <v>15</v>
      </c>
      <c r="N10" s="4" t="s">
        <v>27</v>
      </c>
    </row>
    <row r="11" customFormat="false" ht="15" hidden="false" customHeight="false" outlineLevel="0" collapsed="false">
      <c r="A11" s="4" t="n">
        <v>7</v>
      </c>
      <c r="B11" s="4" t="s">
        <v>28</v>
      </c>
      <c r="C11" s="5" t="n">
        <v>280</v>
      </c>
      <c r="D11" s="6" t="n">
        <v>42.3</v>
      </c>
      <c r="E11" s="5" t="n">
        <v>6</v>
      </c>
      <c r="F11" s="6" t="n">
        <v>27.5</v>
      </c>
      <c r="G11" s="5" t="n">
        <v>74</v>
      </c>
      <c r="H11" s="7" t="n">
        <f aca="false">MIN(1,MAX(0,(D11-Weights!$B$7)/Weights!$B$8))</f>
        <v>0.883333333333333</v>
      </c>
      <c r="I11" s="7" t="n">
        <f aca="false">MIN(1,MAX(0,1-E11/Weights!$B$9))</f>
        <v>0.76</v>
      </c>
      <c r="J11" s="7" t="n">
        <f aca="false">MIN(1,MAX(0,G11/100))</f>
        <v>0.74</v>
      </c>
      <c r="K11" s="4" t="n">
        <f aca="false">ROUND(100*(Weights!$B$4*H11+Weights!$B$5*I11+Weights!$B$6*J11),0)</f>
        <v>81</v>
      </c>
      <c r="L11" s="4" t="str">
        <f aca="false">IF(K11&gt;=Weights!$B$10,"Critical",IF(K11&gt;=Weights!$B$11,"High",IF(K11&gt;=Weights!$B$12,"Moderate","Lower")))</f>
        <v>Critical</v>
      </c>
      <c r="M11" s="4" t="n">
        <f aca="false">RANK(K11,$K$5:$K$19,0)</f>
        <v>2</v>
      </c>
      <c r="N11" s="4" t="s">
        <v>29</v>
      </c>
    </row>
    <row r="12" customFormat="false" ht="15" hidden="false" customHeight="false" outlineLevel="0" collapsed="false">
      <c r="A12" s="4" t="n">
        <v>8</v>
      </c>
      <c r="B12" s="4" t="s">
        <v>30</v>
      </c>
      <c r="C12" s="5" t="n">
        <v>310</v>
      </c>
      <c r="D12" s="6" t="n">
        <v>42.9</v>
      </c>
      <c r="E12" s="5" t="n">
        <v>5</v>
      </c>
      <c r="F12" s="6" t="n">
        <v>29.1</v>
      </c>
      <c r="G12" s="5" t="n">
        <v>82</v>
      </c>
      <c r="H12" s="7" t="n">
        <f aca="false">MIN(1,MAX(0,(D12-Weights!$B$7)/Weights!$B$8))</f>
        <v>0.983333333333333</v>
      </c>
      <c r="I12" s="7" t="n">
        <f aca="false">MIN(1,MAX(0,1-E12/Weights!$B$9))</f>
        <v>0.8</v>
      </c>
      <c r="J12" s="7" t="n">
        <f aca="false">MIN(1,MAX(0,G12/100))</f>
        <v>0.82</v>
      </c>
      <c r="K12" s="4" t="n">
        <f aca="false">ROUND(100*(Weights!$B$4*H12+Weights!$B$5*I12+Weights!$B$6*J12),0)</f>
        <v>89</v>
      </c>
      <c r="L12" s="4" t="str">
        <f aca="false">IF(K12&gt;=Weights!$B$10,"Critical",IF(K12&gt;=Weights!$B$11,"High",IF(K12&gt;=Weights!$B$12,"Moderate","Lower")))</f>
        <v>Critical</v>
      </c>
      <c r="M12" s="4" t="n">
        <f aca="false">RANK(K12,$K$5:$K$19,0)</f>
        <v>1</v>
      </c>
      <c r="N12" s="4" t="s">
        <v>31</v>
      </c>
    </row>
    <row r="13" customFormat="false" ht="15" hidden="false" customHeight="false" outlineLevel="0" collapsed="false">
      <c r="A13" s="4" t="n">
        <v>9</v>
      </c>
      <c r="B13" s="4" t="s">
        <v>32</v>
      </c>
      <c r="C13" s="5" t="n">
        <v>400</v>
      </c>
      <c r="D13" s="6" t="n">
        <v>41</v>
      </c>
      <c r="E13" s="5" t="n">
        <v>11</v>
      </c>
      <c r="F13" s="6" t="n">
        <v>15.4</v>
      </c>
      <c r="G13" s="5" t="n">
        <v>66</v>
      </c>
      <c r="H13" s="7" t="n">
        <f aca="false">MIN(1,MAX(0,(D13-Weights!$B$7)/Weights!$B$8))</f>
        <v>0.666666666666667</v>
      </c>
      <c r="I13" s="7" t="n">
        <f aca="false">MIN(1,MAX(0,1-E13/Weights!$B$9))</f>
        <v>0.56</v>
      </c>
      <c r="J13" s="7" t="n">
        <f aca="false">MIN(1,MAX(0,G13/100))</f>
        <v>0.66</v>
      </c>
      <c r="K13" s="4" t="n">
        <f aca="false">ROUND(100*(Weights!$B$4*H13+Weights!$B$5*I13+Weights!$B$6*J13),0)</f>
        <v>64</v>
      </c>
      <c r="L13" s="4" t="str">
        <f aca="false">IF(K13&gt;=Weights!$B$10,"Critical",IF(K13&gt;=Weights!$B$11,"High",IF(K13&gt;=Weights!$B$12,"Moderate","Lower")))</f>
        <v>High</v>
      </c>
      <c r="M13" s="4" t="n">
        <f aca="false">RANK(K13,$K$5:$K$19,0)</f>
        <v>5</v>
      </c>
      <c r="N13" s="4" t="s">
        <v>33</v>
      </c>
    </row>
    <row r="14" customFormat="false" ht="15" hidden="false" customHeight="false" outlineLevel="0" collapsed="false">
      <c r="A14" s="4" t="n">
        <v>10</v>
      </c>
      <c r="B14" s="4" t="s">
        <v>34</v>
      </c>
      <c r="C14" s="5" t="n">
        <v>560</v>
      </c>
      <c r="D14" s="6" t="n">
        <v>41.8</v>
      </c>
      <c r="E14" s="5" t="n">
        <v>10</v>
      </c>
      <c r="F14" s="6" t="n">
        <v>14.9</v>
      </c>
      <c r="G14" s="5" t="n">
        <v>69</v>
      </c>
      <c r="H14" s="7" t="n">
        <f aca="false">MIN(1,MAX(0,(D14-Weights!$B$7)/Weights!$B$8))</f>
        <v>0.8</v>
      </c>
      <c r="I14" s="7" t="n">
        <f aca="false">MIN(1,MAX(0,1-E14/Weights!$B$9))</f>
        <v>0.6</v>
      </c>
      <c r="J14" s="7" t="n">
        <f aca="false">MIN(1,MAX(0,G14/100))</f>
        <v>0.69</v>
      </c>
      <c r="K14" s="4" t="n">
        <f aca="false">ROUND(100*(Weights!$B$4*H14+Weights!$B$5*I14+Weights!$B$6*J14),0)</f>
        <v>72</v>
      </c>
      <c r="L14" s="4" t="str">
        <f aca="false">IF(K14&gt;=Weights!$B$10,"Critical",IF(K14&gt;=Weights!$B$11,"High",IF(K14&gt;=Weights!$B$12,"Moderate","Lower")))</f>
        <v>Critical</v>
      </c>
      <c r="M14" s="4" t="n">
        <f aca="false">RANK(K14,$K$5:$K$19,0)</f>
        <v>3</v>
      </c>
      <c r="N14" s="4" t="s">
        <v>35</v>
      </c>
    </row>
    <row r="15" customFormat="false" ht="15" hidden="false" customHeight="false" outlineLevel="0" collapsed="false">
      <c r="A15" s="4" t="n">
        <v>11</v>
      </c>
      <c r="B15" s="4" t="s">
        <v>36</v>
      </c>
      <c r="C15" s="5" t="n">
        <v>410</v>
      </c>
      <c r="D15" s="6" t="n">
        <v>38</v>
      </c>
      <c r="E15" s="5" t="n">
        <v>22</v>
      </c>
      <c r="F15" s="6" t="n">
        <v>9.6</v>
      </c>
      <c r="G15" s="5" t="n">
        <v>40</v>
      </c>
      <c r="H15" s="7" t="n">
        <f aca="false">MIN(1,MAX(0,(D15-Weights!$B$7)/Weights!$B$8))</f>
        <v>0.166666666666667</v>
      </c>
      <c r="I15" s="7" t="n">
        <f aca="false">MIN(1,MAX(0,1-E15/Weights!$B$9))</f>
        <v>0.12</v>
      </c>
      <c r="J15" s="7" t="n">
        <f aca="false">MIN(1,MAX(0,G15/100))</f>
        <v>0.4</v>
      </c>
      <c r="K15" s="4" t="n">
        <f aca="false">ROUND(100*(Weights!$B$4*H15+Weights!$B$5*I15+Weights!$B$6*J15),0)</f>
        <v>22</v>
      </c>
      <c r="L15" s="4" t="str">
        <f aca="false">IF(K15&gt;=Weights!$B$10,"Critical",IF(K15&gt;=Weights!$B$11,"High",IF(K15&gt;=Weights!$B$12,"Moderate","Lower")))</f>
        <v>Lower</v>
      </c>
      <c r="M15" s="4" t="n">
        <f aca="false">RANK(K15,$K$5:$K$19,0)</f>
        <v>14</v>
      </c>
      <c r="N15" s="4" t="s">
        <v>37</v>
      </c>
    </row>
    <row r="16" customFormat="false" ht="15" hidden="false" customHeight="false" outlineLevel="0" collapsed="false">
      <c r="A16" s="4" t="n">
        <v>12</v>
      </c>
      <c r="B16" s="4" t="s">
        <v>38</v>
      </c>
      <c r="C16" s="5" t="n">
        <v>440</v>
      </c>
      <c r="D16" s="6" t="n">
        <v>39</v>
      </c>
      <c r="E16" s="5" t="n">
        <v>19</v>
      </c>
      <c r="F16" s="6" t="n">
        <v>11.7</v>
      </c>
      <c r="G16" s="5" t="n">
        <v>46</v>
      </c>
      <c r="H16" s="7" t="n">
        <f aca="false">MIN(1,MAX(0,(D16-Weights!$B$7)/Weights!$B$8))</f>
        <v>0.333333333333333</v>
      </c>
      <c r="I16" s="7" t="n">
        <f aca="false">MIN(1,MAX(0,1-E16/Weights!$B$9))</f>
        <v>0.24</v>
      </c>
      <c r="J16" s="7" t="n">
        <f aca="false">MIN(1,MAX(0,G16/100))</f>
        <v>0.46</v>
      </c>
      <c r="K16" s="4" t="n">
        <f aca="false">ROUND(100*(Weights!$B$4*H16+Weights!$B$5*I16+Weights!$B$6*J16),0)</f>
        <v>35</v>
      </c>
      <c r="L16" s="4" t="str">
        <f aca="false">IF(K16&gt;=Weights!$B$10,"Critical",IF(K16&gt;=Weights!$B$11,"High",IF(K16&gt;=Weights!$B$12,"Moderate","Lower")))</f>
        <v>Lower</v>
      </c>
      <c r="M16" s="4" t="n">
        <f aca="false">RANK(K16,$K$5:$K$19,0)</f>
        <v>12</v>
      </c>
      <c r="N16" s="4" t="s">
        <v>39</v>
      </c>
    </row>
    <row r="17" customFormat="false" ht="15" hidden="false" customHeight="false" outlineLevel="0" collapsed="false">
      <c r="A17" s="4" t="n">
        <v>13</v>
      </c>
      <c r="B17" s="4" t="s">
        <v>40</v>
      </c>
      <c r="C17" s="5" t="n">
        <v>300</v>
      </c>
      <c r="D17" s="6" t="n">
        <v>41.2</v>
      </c>
      <c r="E17" s="5" t="n">
        <v>10</v>
      </c>
      <c r="F17" s="6" t="n">
        <v>21.8</v>
      </c>
      <c r="G17" s="5" t="n">
        <v>58</v>
      </c>
      <c r="H17" s="7" t="n">
        <f aca="false">MIN(1,MAX(0,(D17-Weights!$B$7)/Weights!$B$8))</f>
        <v>0.700000000000001</v>
      </c>
      <c r="I17" s="7" t="n">
        <f aca="false">MIN(1,MAX(0,1-E17/Weights!$B$9))</f>
        <v>0.6</v>
      </c>
      <c r="J17" s="7" t="n">
        <f aca="false">MIN(1,MAX(0,G17/100))</f>
        <v>0.58</v>
      </c>
      <c r="K17" s="4" t="n">
        <f aca="false">ROUND(100*(Weights!$B$4*H17+Weights!$B$5*I17+Weights!$B$6*J17),0)</f>
        <v>64</v>
      </c>
      <c r="L17" s="4" t="str">
        <f aca="false">IF(K17&gt;=Weights!$B$10,"Critical",IF(K17&gt;=Weights!$B$11,"High",IF(K17&gt;=Weights!$B$12,"Moderate","Lower")))</f>
        <v>High</v>
      </c>
      <c r="M17" s="4" t="n">
        <f aca="false">RANK(K17,$K$5:$K$19,0)</f>
        <v>5</v>
      </c>
      <c r="N17" s="4" t="s">
        <v>41</v>
      </c>
    </row>
    <row r="18" customFormat="false" ht="15" hidden="false" customHeight="false" outlineLevel="0" collapsed="false">
      <c r="A18" s="4" t="n">
        <v>14</v>
      </c>
      <c r="B18" s="4" t="s">
        <v>42</v>
      </c>
      <c r="C18" s="5" t="n">
        <v>430</v>
      </c>
      <c r="D18" s="6" t="n">
        <v>40.7</v>
      </c>
      <c r="E18" s="5" t="n">
        <v>13</v>
      </c>
      <c r="F18" s="6" t="n">
        <v>16.2</v>
      </c>
      <c r="G18" s="5" t="n">
        <v>63</v>
      </c>
      <c r="H18" s="7" t="n">
        <f aca="false">MIN(1,MAX(0,(D18-Weights!$B$7)/Weights!$B$8))</f>
        <v>0.616666666666667</v>
      </c>
      <c r="I18" s="7" t="n">
        <f aca="false">MIN(1,MAX(0,1-E18/Weights!$B$9))</f>
        <v>0.48</v>
      </c>
      <c r="J18" s="7" t="n">
        <f aca="false">MIN(1,MAX(0,G18/100))</f>
        <v>0.63</v>
      </c>
      <c r="K18" s="4" t="n">
        <f aca="false">ROUND(100*(Weights!$B$4*H18+Weights!$B$5*I18+Weights!$B$6*J18),0)</f>
        <v>59</v>
      </c>
      <c r="L18" s="4" t="str">
        <f aca="false">IF(K18&gt;=Weights!$B$10,"Critical",IF(K18&gt;=Weights!$B$11,"High",IF(K18&gt;=Weights!$B$12,"Moderate","Lower")))</f>
        <v>High</v>
      </c>
      <c r="M18" s="4" t="n">
        <f aca="false">RANK(K18,$K$5:$K$19,0)</f>
        <v>8</v>
      </c>
      <c r="N18" s="4" t="s">
        <v>43</v>
      </c>
    </row>
    <row r="19" customFormat="false" ht="15" hidden="false" customHeight="false" outlineLevel="0" collapsed="false">
      <c r="A19" s="4" t="n">
        <v>15</v>
      </c>
      <c r="B19" s="4" t="s">
        <v>44</v>
      </c>
      <c r="C19" s="5" t="n">
        <v>470</v>
      </c>
      <c r="D19" s="6" t="n">
        <v>40.9</v>
      </c>
      <c r="E19" s="5" t="n">
        <v>12</v>
      </c>
      <c r="F19" s="6" t="n">
        <v>13.6</v>
      </c>
      <c r="G19" s="5" t="n">
        <v>68</v>
      </c>
      <c r="H19" s="7" t="n">
        <f aca="false">MIN(1,MAX(0,(D19-Weights!$B$7)/Weights!$B$8))</f>
        <v>0.65</v>
      </c>
      <c r="I19" s="7" t="n">
        <f aca="false">MIN(1,MAX(0,1-E19/Weights!$B$9))</f>
        <v>0.52</v>
      </c>
      <c r="J19" s="7" t="n">
        <f aca="false">MIN(1,MAX(0,G19/100))</f>
        <v>0.68</v>
      </c>
      <c r="K19" s="4" t="n">
        <f aca="false">ROUND(100*(Weights!$B$4*H19+Weights!$B$5*I19+Weights!$B$6*J19),0)</f>
        <v>63</v>
      </c>
      <c r="L19" s="4" t="str">
        <f aca="false">IF(K19&gt;=Weights!$B$10,"Critical",IF(K19&gt;=Weights!$B$11,"High",IF(K19&gt;=Weights!$B$12,"Moderate","Lower")))</f>
        <v>High</v>
      </c>
      <c r="M19" s="4" t="n">
        <f aca="false">RANK(K19,$K$5:$K$19,0)</f>
        <v>7</v>
      </c>
      <c r="N19" s="4" t="s">
        <v>45</v>
      </c>
    </row>
    <row r="21" customFormat="false" ht="15" hidden="false" customHeight="false" outlineLevel="0" collapsed="false">
      <c r="B21" s="8" t="s">
        <v>46</v>
      </c>
      <c r="C21" s="9" t="n">
        <f aca="false">SUM(C5:C19)</f>
        <v>6170</v>
      </c>
      <c r="D21" s="10" t="n">
        <f aca="false">SUMPRODUCT(D5:D19,C5:C19)/C21</f>
        <v>40.2685575364668</v>
      </c>
      <c r="E21" s="10" t="n">
        <f aca="false">SUMPRODUCT(E5:E19,C5:C19)/C21</f>
        <v>14.1458670988655</v>
      </c>
      <c r="G21" s="10" t="n">
        <f aca="false">SUMPRODUCT(G5:G19,C5:C19)/C21</f>
        <v>56.4051863857374</v>
      </c>
      <c r="K21" s="10" t="n">
        <f aca="false">SUMPRODUCT(K5:K19,C5:C19)/C21</f>
        <v>52.2658022690438</v>
      </c>
    </row>
    <row r="22" customFormat="false" ht="15" hidden="false" customHeight="false" outlineLevel="0" collapsed="false">
      <c r="B22" s="8" t="s">
        <v>47</v>
      </c>
      <c r="C22" s="9"/>
      <c r="D22" s="10" t="n">
        <f aca="false">MAX(D5:D19)-MIN(D5:D19)</f>
        <v>5.3</v>
      </c>
      <c r="E22" s="9"/>
      <c r="G22" s="9"/>
      <c r="K22" s="9"/>
    </row>
    <row r="23" customFormat="false" ht="15" hidden="false" customHeight="false" outlineLevel="0" collapsed="false">
      <c r="B23" s="8" t="s">
        <v>48</v>
      </c>
      <c r="C23" s="9"/>
      <c r="D23" s="11" t="n">
        <f aca="false">(SUMIF(L5:L19,"Critical",C5:C19)+SUMIF(L5:L19,"High",C5:C19))/C21</f>
        <v>0.523500810372772</v>
      </c>
      <c r="E23" s="9"/>
      <c r="G23" s="9"/>
      <c r="K23" s="9"/>
    </row>
    <row r="25" customFormat="false" ht="15" hidden="false" customHeight="false" outlineLevel="0" collapsed="false">
      <c r="B25" s="1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13" t="s">
        <v>50</v>
      </c>
    </row>
    <row r="3" customFormat="false" ht="15" hidden="false" customHeight="false" outlineLevel="0" collapsed="false">
      <c r="A3" s="14" t="s">
        <v>51</v>
      </c>
      <c r="B3" s="14" t="s">
        <v>52</v>
      </c>
      <c r="C3" s="14" t="s">
        <v>53</v>
      </c>
    </row>
    <row r="4" customFormat="false" ht="15" hidden="false" customHeight="false" outlineLevel="0" collapsed="false">
      <c r="A4" s="9" t="s">
        <v>54</v>
      </c>
      <c r="B4" s="15" t="n">
        <v>0.45</v>
      </c>
      <c r="C4" s="9" t="s">
        <v>55</v>
      </c>
    </row>
    <row r="5" customFormat="false" ht="15" hidden="false" customHeight="false" outlineLevel="0" collapsed="false">
      <c r="A5" s="9" t="s">
        <v>56</v>
      </c>
      <c r="B5" s="15" t="n">
        <v>0.25</v>
      </c>
      <c r="C5" s="9" t="s">
        <v>57</v>
      </c>
    </row>
    <row r="6" customFormat="false" ht="15" hidden="false" customHeight="false" outlineLevel="0" collapsed="false">
      <c r="A6" s="9" t="s">
        <v>58</v>
      </c>
      <c r="B6" s="15" t="n">
        <v>0.3</v>
      </c>
      <c r="C6" s="9" t="s">
        <v>59</v>
      </c>
    </row>
    <row r="7" customFormat="false" ht="15" hidden="false" customHeight="false" outlineLevel="0" collapsed="false">
      <c r="A7" s="9" t="s">
        <v>60</v>
      </c>
      <c r="B7" s="15" t="n">
        <v>37</v>
      </c>
      <c r="C7" s="9" t="s">
        <v>61</v>
      </c>
    </row>
    <row r="8" customFormat="false" ht="15" hidden="false" customHeight="false" outlineLevel="0" collapsed="false">
      <c r="A8" s="9" t="s">
        <v>62</v>
      </c>
      <c r="B8" s="15" t="n">
        <v>6</v>
      </c>
      <c r="C8" s="9" t="s">
        <v>63</v>
      </c>
    </row>
    <row r="9" customFormat="false" ht="15" hidden="false" customHeight="false" outlineLevel="0" collapsed="false">
      <c r="A9" s="9" t="s">
        <v>64</v>
      </c>
      <c r="B9" s="15" t="n">
        <v>25</v>
      </c>
      <c r="C9" s="9" t="s">
        <v>65</v>
      </c>
    </row>
    <row r="10" customFormat="false" ht="15" hidden="false" customHeight="false" outlineLevel="0" collapsed="false">
      <c r="A10" s="9" t="s">
        <v>66</v>
      </c>
      <c r="B10" s="15" t="n">
        <v>70</v>
      </c>
      <c r="C10" s="9" t="s">
        <v>67</v>
      </c>
    </row>
    <row r="11" customFormat="false" ht="15" hidden="false" customHeight="false" outlineLevel="0" collapsed="false">
      <c r="A11" s="9" t="s">
        <v>68</v>
      </c>
      <c r="B11" s="15" t="n">
        <v>55</v>
      </c>
      <c r="C11" s="9" t="s">
        <v>67</v>
      </c>
    </row>
    <row r="12" customFormat="false" ht="15" hidden="false" customHeight="false" outlineLevel="0" collapsed="false">
      <c r="A12" s="9" t="s">
        <v>69</v>
      </c>
      <c r="B12" s="15" t="n">
        <v>40</v>
      </c>
      <c r="C12" s="9" t="s">
        <v>67</v>
      </c>
    </row>
    <row r="14" customFormat="false" ht="15" hidden="false" customHeight="false" outlineLevel="0" collapsed="false">
      <c r="A14" s="8" t="s">
        <v>70</v>
      </c>
      <c r="B14" s="9" t="n">
        <f aca="false">SUM(B4:B6)</f>
        <v>1</v>
      </c>
    </row>
    <row r="16" customFormat="false" ht="15" hidden="false" customHeight="false" outlineLevel="0" collapsed="false">
      <c r="A16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4" t="s">
        <v>72</v>
      </c>
      <c r="B1" s="14" t="s">
        <v>73</v>
      </c>
      <c r="C1" s="14" t="s">
        <v>74</v>
      </c>
    </row>
    <row r="2" customFormat="false" ht="23.85" hidden="false" customHeight="false" outlineLevel="0" collapsed="false">
      <c r="A2" s="16" t="s">
        <v>75</v>
      </c>
      <c r="B2" s="16" t="s">
        <v>76</v>
      </c>
      <c r="C2" s="16" t="s">
        <v>77</v>
      </c>
    </row>
    <row r="3" customFormat="false" ht="23.85" hidden="false" customHeight="false" outlineLevel="0" collapsed="false">
      <c r="A3" s="16" t="s">
        <v>78</v>
      </c>
      <c r="B3" s="16" t="s">
        <v>79</v>
      </c>
      <c r="C3" s="16" t="s">
        <v>80</v>
      </c>
    </row>
    <row r="4" customFormat="false" ht="15" hidden="false" customHeight="false" outlineLevel="0" collapsed="false">
      <c r="A4" s="16" t="s">
        <v>6</v>
      </c>
      <c r="B4" s="16" t="s">
        <v>79</v>
      </c>
      <c r="C4" s="16" t="s">
        <v>81</v>
      </c>
    </row>
    <row r="5" customFormat="false" ht="23.85" hidden="false" customHeight="false" outlineLevel="0" collapsed="false">
      <c r="A5" s="16" t="s">
        <v>82</v>
      </c>
      <c r="B5" s="16" t="s">
        <v>79</v>
      </c>
      <c r="C5" s="16" t="s">
        <v>83</v>
      </c>
    </row>
    <row r="6" customFormat="false" ht="15" hidden="false" customHeight="false" outlineLevel="0" collapsed="false">
      <c r="A6" s="16" t="s">
        <v>84</v>
      </c>
      <c r="B6" s="16" t="s">
        <v>85</v>
      </c>
      <c r="C6" s="16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2026-10-04T17:34:30Z</dcterms:created>
  <dc:creator>openpyxl</dc:creator>
  <dc:description/>
  <dc:language>en-US</dc:language>
  <cp:lastModifiedBy/>
  <dcterms:modified xsi:type="dcterms:W3CDTF">2026-10-04T17:34:30Z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